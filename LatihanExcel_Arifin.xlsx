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03EB973-B145-45D7-A2CF-2A34384C08CD}" xr6:coauthVersionLast="47" xr6:coauthVersionMax="47" xr10:uidLastSave="{00000000-0000-0000-0000-000000000000}"/>
  <bookViews>
    <workbookView xWindow="-110" yWindow="-110" windowWidth="19420" windowHeight="11500" xr2:uid="{F53FAF3E-5B64-42D0-B576-A0DE60350582}"/>
  </bookViews>
  <sheets>
    <sheet name="Sheet1" sheetId="1" r:id="rId1"/>
  </sheets>
  <externalReferences>
    <externalReference r:id="rId2"/>
  </externalReferences>
  <definedNames>
    <definedName name="_xlchart.v1.0" hidden="1">[1]Sheet1!$G$8:$G$38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H8" i="1" s="1" a="1"/>
  <c r="H8" i="1" s="1"/>
  <c r="G9" i="1"/>
  <c r="G10" i="1"/>
  <c r="G11" i="1"/>
  <c r="H11" i="1" s="1" a="1"/>
  <c r="H11" i="1" s="1"/>
  <c r="G12" i="1"/>
  <c r="H12" i="1" s="1" a="1"/>
  <c r="H12" i="1" s="1"/>
  <c r="G13" i="1"/>
  <c r="G14" i="1"/>
  <c r="G15" i="1"/>
  <c r="G16" i="1"/>
  <c r="G17" i="1"/>
  <c r="H17" i="1" s="1" a="1"/>
  <c r="H17" i="1" s="1"/>
  <c r="G18" i="1"/>
  <c r="H18" i="1" s="1" a="1"/>
  <c r="H18" i="1" s="1"/>
  <c r="G19" i="1"/>
  <c r="H19" i="1" s="1" a="1"/>
  <c r="H19" i="1" s="1"/>
  <c r="G20" i="1"/>
  <c r="G21" i="1"/>
  <c r="G22" i="1"/>
  <c r="G23" i="1"/>
  <c r="H23" i="1" s="1" a="1"/>
  <c r="H23" i="1" s="1"/>
  <c r="G24" i="1"/>
  <c r="H24" i="1" s="1" a="1"/>
  <c r="H24" i="1" s="1"/>
  <c r="G25" i="1"/>
  <c r="G26" i="1"/>
  <c r="G27" i="1"/>
  <c r="G28" i="1"/>
  <c r="G29" i="1"/>
  <c r="H29" i="1" s="1" a="1"/>
  <c r="H29" i="1" s="1"/>
  <c r="G30" i="1"/>
  <c r="H30" i="1" s="1" a="1"/>
  <c r="H30" i="1" s="1"/>
  <c r="G31" i="1"/>
  <c r="H31" i="1" s="1" a="1"/>
  <c r="H31" i="1" s="1"/>
  <c r="G32" i="1"/>
  <c r="G33" i="1"/>
  <c r="G34" i="1"/>
  <c r="G35" i="1"/>
  <c r="H35" i="1" s="1" a="1"/>
  <c r="H35" i="1" s="1"/>
  <c r="G36" i="1"/>
  <c r="H36" i="1" s="1" a="1"/>
  <c r="H36" i="1" s="1"/>
  <c r="G37" i="1"/>
  <c r="G38" i="1"/>
  <c r="H9" i="1" a="1"/>
  <c r="H9" i="1" s="1"/>
  <c r="H10" i="1" a="1"/>
  <c r="H10" i="1" s="1"/>
  <c r="H13" i="1" a="1"/>
  <c r="H13" i="1"/>
  <c r="H14" i="1" a="1"/>
  <c r="H14" i="1"/>
  <c r="H15" i="1" a="1"/>
  <c r="H15" i="1"/>
  <c r="H16" i="1" a="1"/>
  <c r="H16" i="1" s="1"/>
  <c r="H20" i="1" a="1"/>
  <c r="H20" i="1"/>
  <c r="H21" i="1" a="1"/>
  <c r="H21" i="1"/>
  <c r="H22" i="1" a="1"/>
  <c r="H22" i="1" s="1"/>
  <c r="H25" i="1" a="1"/>
  <c r="H25" i="1"/>
  <c r="H26" i="1" a="1"/>
  <c r="H26" i="1"/>
  <c r="H27" i="1" a="1"/>
  <c r="H27" i="1"/>
  <c r="H28" i="1" a="1"/>
  <c r="H28" i="1" s="1"/>
  <c r="H32" i="1" a="1"/>
  <c r="H32" i="1"/>
  <c r="H33" i="1" a="1"/>
  <c r="H33" i="1"/>
  <c r="H34" i="1" a="1"/>
  <c r="H34" i="1" s="1"/>
  <c r="H37" i="1" a="1"/>
  <c r="H37" i="1"/>
  <c r="H38" i="1" a="1"/>
  <c r="H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<sst xmlns="http://schemas.openxmlformats.org/spreadsheetml/2006/main" count="55" uniqueCount="54">
  <si>
    <t>Excel Sample Data</t>
  </si>
  <si>
    <t>Students Marksheet Data</t>
  </si>
  <si>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</si>
  <si>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</si>
  <si>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</si>
  <si>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</si>
  <si>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</si>
  <si>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</si>
  <si>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</si>
  <si>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</si>
  <si>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</si>
  <si>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</si>
  <si>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</si>
  <si>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</si>
  <si>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</si>
  <si>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</si>
  <si>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</si>
  <si>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</si>
  <si>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</si>
  <si>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</si>
  <si>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</si>
  <si>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</si>
  <si>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</si>
  <si>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</si>
  <si>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</si>
  <si>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</si>
  <si>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</si>
  <si>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</si>
  <si>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</si>
  <si>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</si>
  <si>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</si>
  <si>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</si>
  <si>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</si>
  <si>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</si>
  <si>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</si>
  <si>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</si>
  <si>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</si>
  <si>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</si>
  <si>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</si>
  <si>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</si>
  <si>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</si>
  <si>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</si>
  <si>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</si>
  <si>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</si>
  <si>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</si>
  <si>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</si>
  <si>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</si>
  <si>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</si>
  <si>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</si>
  <si>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</si>
  <si>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</si>
  <si>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</si>
  <si>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 </t>
  </si>
  <si>
    <t>Arifin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</si>
</sst>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5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Perbandingan nilai Mahasiswa terhadap Final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Sheet1!$C$8:$C$38</c:f>
              <c:strCache>
                <c:ptCount val="31"/>
                <c:pt idx="0">
                  <c:v>Arifin</c:v>
                </c:pt>
                <c:pt idx="1">
                  <c:v>John Doe</c:v>
                </c:pt>
                <c:pt idx="2">
                  <c:v>Jane Smith</c:v>
                </c:pt>
                <c:pt idx="3">
                  <c:v>Michael Johnson</c:v>
                </c:pt>
                <c:pt idx="4">
                  <c:v>Emily Brown</c:v>
                </c:pt>
                <c:pt idx="5">
                  <c:v>Daniel Martinez</c:v>
                </c:pt>
                <c:pt idx="6">
                  <c:v>Sarah Wilson</c:v>
                </c:pt>
                <c:pt idx="7">
                  <c:v>David Garcia</c:v>
                </c:pt>
                <c:pt idx="8">
                  <c:v>Jessica Lee</c:v>
                </c:pt>
                <c:pt idx="9">
                  <c:v>Matthew Davis</c:v>
                </c:pt>
                <c:pt idx="10">
                  <c:v>Jennifer Rodriguez</c:v>
                </c:pt>
                <c:pt idx="11">
                  <c:v>Andrew Taylor</c:v>
                </c:pt>
                <c:pt idx="12">
                  <c:v>Amanda Hernandez</c:v>
                </c:pt>
                <c:pt idx="13">
                  <c:v>Christopher Clark</c:v>
                </c:pt>
                <c:pt idx="14">
                  <c:v>Elizabeth Martinez</c:v>
                </c:pt>
                <c:pt idx="15">
                  <c:v>William Anderson</c:v>
                </c:pt>
                <c:pt idx="16">
                  <c:v>Sophia Thomas</c:v>
                </c:pt>
                <c:pt idx="17">
                  <c:v>James White</c:v>
                </c:pt>
                <c:pt idx="18">
                  <c:v>Olivia Taylor</c:v>
                </c:pt>
                <c:pt idx="19">
                  <c:v>Benjamin Wilson</c:v>
                </c:pt>
                <c:pt idx="20">
                  <c:v>Emma Garcia</c:v>
                </c:pt>
                <c:pt idx="21">
                  <c:v>Alexander Davis</c:v>
                </c:pt>
                <c:pt idx="22">
                  <c:v>Mia Moore</c:v>
                </c:pt>
                <c:pt idx="23">
                  <c:v>Ethan Jackson</c:v>
                </c:pt>
                <c:pt idx="24">
                  <c:v>Isabella Brown</c:v>
                </c:pt>
                <c:pt idx="25">
                  <c:v>Noah Taylor</c:v>
                </c:pt>
                <c:pt idx="26">
                  <c:v>Abigail Johnson</c:v>
                </c:pt>
                <c:pt idx="27">
                  <c:v>Logan Martinez</c:v>
                </c:pt>
                <c:pt idx="28">
                  <c:v>Avery Clark</c:v>
                </c:pt>
                <c:pt idx="29">
                  <c:v>Jacob Thompson</c:v>
                </c:pt>
                <c:pt idx="30">
                  <c:v>Samantha Harris</c:v>
                </c:pt>
              </c:strCache>
            </c:strRef>
          </c:cat>
          <c:val>
            <c:numRef>
              <c:f>Sheet1!$G$8:$G$38</c:f>
              <c:numCache>
                <c:formatCode>0</c:formatCode>
                <c:ptCount val="31"/>
                <c:pt idx="0">
                  <c:v>79.7</c:v>
                </c:pt>
                <c:pt idx="1">
                  <c:v>84.44</c:v>
                </c:pt>
                <c:pt idx="2">
                  <c:v>91.38</c:v>
                </c:pt>
                <c:pt idx="3">
                  <c:v>56.41</c:v>
                </c:pt>
                <c:pt idx="4">
                  <c:v>87.65</c:v>
                </c:pt>
                <c:pt idx="5">
                  <c:v>77.350000000000009</c:v>
                </c:pt>
                <c:pt idx="6">
                  <c:v>74.010000000000005</c:v>
                </c:pt>
                <c:pt idx="7">
                  <c:v>73.349999999999994</c:v>
                </c:pt>
                <c:pt idx="8">
                  <c:v>94.03</c:v>
                </c:pt>
                <c:pt idx="9">
                  <c:v>80.3</c:v>
                </c:pt>
                <c:pt idx="10">
                  <c:v>51.33</c:v>
                </c:pt>
                <c:pt idx="11">
                  <c:v>58.73</c:v>
                </c:pt>
                <c:pt idx="12">
                  <c:v>91.97</c:v>
                </c:pt>
                <c:pt idx="13">
                  <c:v>77.3</c:v>
                </c:pt>
                <c:pt idx="14">
                  <c:v>89.97</c:v>
                </c:pt>
                <c:pt idx="15">
                  <c:v>81.300000000000011</c:v>
                </c:pt>
                <c:pt idx="16">
                  <c:v>93.03</c:v>
                </c:pt>
                <c:pt idx="17">
                  <c:v>78.3</c:v>
                </c:pt>
                <c:pt idx="18">
                  <c:v>86.289999999999992</c:v>
                </c:pt>
                <c:pt idx="19">
                  <c:v>91.03</c:v>
                </c:pt>
                <c:pt idx="20">
                  <c:v>79.3</c:v>
                </c:pt>
                <c:pt idx="21">
                  <c:v>46.010000000000005</c:v>
                </c:pt>
                <c:pt idx="22">
                  <c:v>56.830000000000005</c:v>
                </c:pt>
                <c:pt idx="23">
                  <c:v>82.63</c:v>
                </c:pt>
                <c:pt idx="24">
                  <c:v>87.29</c:v>
                </c:pt>
                <c:pt idx="25">
                  <c:v>80.3</c:v>
                </c:pt>
                <c:pt idx="26">
                  <c:v>70.210000000000008</c:v>
                </c:pt>
                <c:pt idx="27">
                  <c:v>58.160000000000004</c:v>
                </c:pt>
                <c:pt idx="28">
                  <c:v>67.39</c:v>
                </c:pt>
                <c:pt idx="29">
                  <c:v>77.3</c:v>
                </c:pt>
                <c:pt idx="30">
                  <c:v>63.05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4-44A2-A4D9-0DBA04831A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50681264"/>
        <c:axId val="954613904"/>
      </c:barChart>
      <c:catAx>
        <c:axId val="115068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13904"/>
        <c:crosses val="autoZero"/>
        <c:auto val="1"/>
        <c:lblAlgn val="ctr"/>
        <c:lblOffset val="100"/>
        <c:noMultiLvlLbl val="0"/>
      </c:catAx>
      <c:valAx>
        <c:axId val="9546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8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Count of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31-492F-B579-84F7F5317AC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31-492F-B579-84F7F5317AC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31-492F-B579-84F7F5317AC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31-492F-B579-84F7F5317AC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31-492F-B579-84F7F5317AC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31-492F-B579-84F7F5317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A</c:v>
              </c:pt>
              <c:pt idx="1">
                <c:v>AB</c:v>
              </c:pt>
              <c:pt idx="2">
                <c:v>B</c:v>
              </c:pt>
              <c:pt idx="3">
                <c:v>BC</c:v>
              </c:pt>
              <c:pt idx="4">
                <c:v>C</c:v>
              </c:pt>
              <c:pt idx="5">
                <c:v>E</c:v>
              </c:pt>
            </c:strLit>
          </c:cat>
          <c:val>
            <c:numLit>
              <c:formatCode>General</c:formatCode>
              <c:ptCount val="6"/>
              <c:pt idx="0">
                <c:v>12</c:v>
              </c:pt>
              <c:pt idx="1">
                <c:v>7</c:v>
              </c:pt>
              <c:pt idx="2">
                <c:v>5</c:v>
              </c:pt>
              <c:pt idx="3">
                <c:v>1</c:v>
              </c:pt>
              <c:pt idx="4">
                <c:v>5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7F8-46B9-A0FD-29CE7FB048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Distribusi Final Score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B0A3-45DD-B061-D4C0C60E6D33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376320</xdr:colOff>
      <xdr:row>7</xdr:row>
      <xdr:rowOff>83528</xdr:rowOff>
    </xdr:from>
    <xdr:to>
      <xdr:col>17</xdr:col>
      <xdr:colOff>263292</xdr:colOff>
      <xdr:row>22</xdr:row>
      <xdr:rowOff>178109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32FC7B-795B-6623-279E-7DAB652BE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580571</xdr:colOff>
      <xdr:row>24</xdr:row>
      <xdr:rowOff>45356</xdr:rowOff>
    </xdr:from>
    <xdr:to>
      <xdr:col>17</xdr:col>
      <xdr:colOff>255361</xdr:colOff>
      <xdr:row>39</xdr:row>
      <xdr:rowOff>132611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3B472-0C0D-4903-A72A-FFB516740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17</xdr:col>
      <xdr:colOff>279933</xdr:colOff>
      <xdr:row>56</xdr:row>
      <xdr:rowOff>49625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513582E-0266-4FC9-85EB-F02D6CE54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1400" y="7874000"/>
              <a:ext cx="4547133" cy="2811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Latihan%20Penyajian%20Data%20Gebi3TIE%20-%20Copy%20-%20Copy%20(2).xlsx" TargetMode="External"/><Relationship Id="rId1" Type="http://schemas.openxmlformats.org/officeDocument/2006/relationships/externalLinkPath" Target="Latihan%20Penyajian%20Data%20Gebi3TIE%20-%20Copy%20-%20Copy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8">
          <cell r="G8">
            <v>73.25</v>
          </cell>
        </row>
        <row r="9">
          <cell r="G9">
            <v>84.44</v>
          </cell>
        </row>
        <row r="10">
          <cell r="G10">
            <v>91.38</v>
          </cell>
        </row>
        <row r="11">
          <cell r="G11">
            <v>56.41</v>
          </cell>
        </row>
        <row r="12">
          <cell r="G12">
            <v>87.65</v>
          </cell>
        </row>
        <row r="13">
          <cell r="G13">
            <v>77.350000000000009</v>
          </cell>
        </row>
        <row r="14">
          <cell r="G14">
            <v>74.010000000000005</v>
          </cell>
        </row>
        <row r="15">
          <cell r="G15">
            <v>73.349999999999994</v>
          </cell>
        </row>
        <row r="16">
          <cell r="G16">
            <v>94.03</v>
          </cell>
        </row>
        <row r="17">
          <cell r="G17">
            <v>80.3</v>
          </cell>
        </row>
        <row r="18">
          <cell r="G18">
            <v>51.33</v>
          </cell>
        </row>
        <row r="19">
          <cell r="G19">
            <v>58.73</v>
          </cell>
        </row>
        <row r="20">
          <cell r="G20">
            <v>91.97</v>
          </cell>
        </row>
        <row r="21">
          <cell r="G21">
            <v>77.3</v>
          </cell>
        </row>
        <row r="22">
          <cell r="G22">
            <v>89.97</v>
          </cell>
        </row>
        <row r="23">
          <cell r="G23">
            <v>81.300000000000011</v>
          </cell>
        </row>
        <row r="24">
          <cell r="G24">
            <v>93.03</v>
          </cell>
        </row>
        <row r="25">
          <cell r="G25">
            <v>78.3</v>
          </cell>
        </row>
        <row r="26">
          <cell r="G26">
            <v>86.289999999999992</v>
          </cell>
        </row>
        <row r="27">
          <cell r="G27">
            <v>91.03</v>
          </cell>
        </row>
        <row r="28">
          <cell r="G28">
            <v>79.3</v>
          </cell>
        </row>
        <row r="29">
          <cell r="G29">
            <v>46.010000000000005</v>
          </cell>
        </row>
        <row r="30">
          <cell r="G30">
            <v>56.830000000000005</v>
          </cell>
        </row>
        <row r="31">
          <cell r="G31">
            <v>82.63</v>
          </cell>
        </row>
        <row r="32">
          <cell r="G32">
            <v>87.29</v>
          </cell>
        </row>
        <row r="33">
          <cell r="G33">
            <v>80.3</v>
          </cell>
        </row>
        <row r="34">
          <cell r="G34">
            <v>70.210000000000008</v>
          </cell>
        </row>
        <row r="35">
          <cell r="G35">
            <v>58.160000000000004</v>
          </cell>
        </row>
        <row r="36">
          <cell r="G36">
            <v>67.39</v>
          </cell>
        </row>
        <row r="37">
          <cell r="G37">
            <v>77.3</v>
          </cell>
        </row>
        <row r="38">
          <cell r="G38">
            <v>63.05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2:U38"/>
  <sheetViews>
    <sheetView tabSelected="1" zoomScale="88" zoomScaleNormal="77" workbookViewId="0">
      <selection activeCell="F8" sqref="F8"/>
    </sheetView>
  </sheetViews>
  <sheetFormatPr defaultRowHeight="14.5" x14ac:dyDescent="0.35"/>
  <cols>
    <col min="1" max="1" width="3.54296875" style="1" customWidth="1"/>
    <col min="2" max="2" width="12.36328125" style="1" customWidth="1"/>
    <col min="3" max="3" width="18.54296875" style="1" bestFit="1" customWidth="1"/>
    <col min="4" max="4" width="17.6328125" style="1" customWidth="1"/>
    <col min="5" max="5" width="18.36328125" style="1" customWidth="1"/>
    <col min="6" max="7" width="21.90625" style="1" customWidth="1"/>
    <col min="8" max="8" width="15.453125" style="1" customWidth="1"/>
    <col min="9" max="9" width="21.90625" style="1" customWidth="1"/>
  </cols>
  <sheetData>
    <row r="2" spans="2:21" ht="19" thickBot="1" x14ac:dyDescent="0.4">
      <c r="B2" s="2" t="s">
        <v>0</v>
      </c>
      <c r="C2" s="2"/>
      <c r="D2" s="2"/>
      <c r="E2" s="2"/>
      <c r="F2" s="2"/>
      <c r="G2" s="2"/>
      <c r="H2" s="2"/>
      <c r="I2" s="2"/>
    </row>
    <row r="4" spans="2:21" ht="19" thickBot="1" x14ac:dyDescent="0.4">
      <c r="B4" s="2" t="s">
        <v>1</v>
      </c>
      <c r="C4" s="2"/>
      <c r="D4" s="2"/>
      <c r="E4" s="2"/>
      <c r="F4" s="2"/>
      <c r="G4" s="2"/>
      <c r="H4" s="2"/>
      <c r="I4" s="2"/>
    </row>
    <row r="6" spans="2:21" ht="15" thickBot="1" x14ac:dyDescent="0.4"/>
    <row r="7" spans="2:21" ht="31" x14ac:dyDescent="0.35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T7" s="9" t="s">
        <v>7</v>
      </c>
      <c r="U7" s="9"/>
    </row>
    <row r="8" spans="2:21" x14ac:dyDescent="0.35">
      <c r="B8" s="1">
        <v>2455301030</v>
      </c>
      <c r="C8" s="1" t="s">
        <v>53</v>
      </c>
      <c r="D8" s="7">
        <v>90</v>
      </c>
      <c r="E8" s="7">
        <v>80</v>
      </c>
      <c r="F8" s="7">
        <v>70</v>
      </c>
      <c r="G8" s="6">
        <f>D8*32%+E8*33%+F8*35%</f>
        <v>79.7</v>
      </c>
      <c r="H8" s="4" t="str" cm="1">
        <f t="array" ref="H8">_xlfn.IFS(G8&gt;=81, "A", G8&gt;=76, "AB", G8&gt;=66, "B", G8&gt;=61, "BC", G8&gt;=51, "C", TRUE,"E")</f>
        <v>AB</v>
      </c>
    </row>
    <row r="9" spans="2:21" x14ac:dyDescent="0.35">
      <c r="B9" s="4">
        <v>120001</v>
      </c>
      <c r="C9" s="5" t="s">
        <v>9</v>
      </c>
      <c r="D9" s="4">
        <v>85</v>
      </c>
      <c r="E9" s="4">
        <v>78</v>
      </c>
      <c r="F9" s="4">
        <v>90</v>
      </c>
      <c r="G9" s="6">
        <f t="shared" ref="G9:G38" si="0">D9*32%+E9*33%+F9*35%</f>
        <v>84.44</v>
      </c>
      <c r="H9" s="4" t="str" cm="1">
        <f t="array" ref="H9">_xlfn.IFS(G9&gt;=81, "A", G9&gt;=76, "AB", G9&gt;=66, "B", G9&gt;=61, "BC", G9&gt;=51, "C", TRUE,"E")</f>
        <v>A</v>
      </c>
      <c r="I9" s="6" t="s">
        <v>52</v>
      </c>
      <c r="T9" t="s">
        <v>39</v>
      </c>
      <c r="U9">
        <v>76.125483870967727</v>
      </c>
    </row>
    <row r="10" spans="2:21" ht="13.75" customHeight="1" x14ac:dyDescent="0.35">
      <c r="B10" s="4">
        <v>120005</v>
      </c>
      <c r="C10" s="5" t="s">
        <v>10</v>
      </c>
      <c r="D10" s="4">
        <v>92</v>
      </c>
      <c r="E10" s="4">
        <v>88</v>
      </c>
      <c r="F10" s="4">
        <v>94</v>
      </c>
      <c r="G10" s="6">
        <f t="shared" si="0"/>
        <v>91.38</v>
      </c>
      <c r="H10" s="4" t="str" cm="1">
        <f t="array" ref="H10">_xlfn.IFS(G10&gt;=81, "A", G10&gt;=76, "AB", G10&gt;=66, "B", G10&gt;=61, "BC", G10&gt;=51, "C", TRUE,"E")</f>
        <v>A</v>
      </c>
      <c r="I10" s="6"/>
      <c r="T10" t="s">
        <v>40</v>
      </c>
      <c r="U10">
        <v>2.3799482166007411</v>
      </c>
    </row>
    <row r="11" spans="2:21" x14ac:dyDescent="0.35">
      <c r="B11" s="4">
        <v>120017</v>
      </c>
      <c r="C11" s="5" t="s">
        <v>11</v>
      </c>
      <c r="D11" s="4">
        <v>48</v>
      </c>
      <c r="E11" s="4">
        <v>65</v>
      </c>
      <c r="F11" s="4">
        <v>56</v>
      </c>
      <c r="G11" s="6">
        <f t="shared" si="0"/>
        <v>56.41</v>
      </c>
      <c r="H11" s="4" t="str" cm="1">
        <f t="array" ref="H11">_xlfn.IFS(G11&gt;=81, "A", G11&gt;=76, "AB", G11&gt;=66, "B", G11&gt;=61, "BC", G11&gt;=51, "C", TRUE,"E")</f>
        <v>C</v>
      </c>
      <c r="I11" s="6"/>
      <c r="T11" t="s">
        <v>41</v>
      </c>
      <c r="U11">
        <v>78.3</v>
      </c>
    </row>
    <row r="12" spans="2:21" x14ac:dyDescent="0.35">
      <c r="B12" s="4">
        <v>120018</v>
      </c>
      <c r="C12" s="5" t="s">
        <v>12</v>
      </c>
      <c r="D12" s="4">
        <v>90</v>
      </c>
      <c r="E12" s="4">
        <v>85</v>
      </c>
      <c r="F12" s="4">
        <v>88</v>
      </c>
      <c r="G12" s="6">
        <f t="shared" si="0"/>
        <v>87.65</v>
      </c>
      <c r="H12" s="4" t="str" cm="1">
        <f t="array" ref="H12">_xlfn.IFS(G12&gt;=81, "A", G12&gt;=76, "AB", G12&gt;=66, "B", G12&gt;=61, "BC", G12&gt;=51, "C", TRUE,"E")</f>
        <v>A</v>
      </c>
      <c r="I12" s="6"/>
      <c r="T12" t="s">
        <v>42</v>
      </c>
      <c r="U12">
        <v>80.3</v>
      </c>
    </row>
    <row r="13" spans="2:21" x14ac:dyDescent="0.35">
      <c r="B13" s="4">
        <v>120022</v>
      </c>
      <c r="C13" s="5" t="s">
        <v>13</v>
      </c>
      <c r="D13" s="4">
        <v>75</v>
      </c>
      <c r="E13" s="4">
        <v>80</v>
      </c>
      <c r="F13" s="4">
        <v>77</v>
      </c>
      <c r="G13" s="6">
        <f t="shared" si="0"/>
        <v>77.350000000000009</v>
      </c>
      <c r="H13" s="4" t="str" cm="1">
        <f t="array" ref="H13">_xlfn.IFS(G13&gt;=81, "A", G13&gt;=76, "AB", G13&gt;=66, "B", G13&gt;=61, "BC", G13&gt;=51, "C", TRUE,"E")</f>
        <v>AB</v>
      </c>
      <c r="I13" s="6"/>
      <c r="T13" t="s">
        <v>43</v>
      </c>
      <c r="U13">
        <v>13.250990865770472</v>
      </c>
    </row>
    <row r="14" spans="2:21" x14ac:dyDescent="0.35">
      <c r="B14" s="4">
        <v>120024</v>
      </c>
      <c r="C14" s="5" t="s">
        <v>14</v>
      </c>
      <c r="D14" s="4">
        <v>88</v>
      </c>
      <c r="E14" s="4">
        <v>70</v>
      </c>
      <c r="F14" s="4">
        <v>65</v>
      </c>
      <c r="G14" s="6">
        <f t="shared" si="0"/>
        <v>74.010000000000005</v>
      </c>
      <c r="H14" s="4" t="str" cm="1">
        <f t="array" ref="H14">_xlfn.IFS(G14&gt;=81, "A", G14&gt;=76, "AB", G14&gt;=66, "B", G14&gt;=61, "BC", G14&gt;=51, "C", TRUE,"E")</f>
        <v>B</v>
      </c>
      <c r="I14" s="6"/>
      <c r="T14" t="s">
        <v>44</v>
      </c>
      <c r="U14">
        <v>175.5887589247325</v>
      </c>
    </row>
    <row r="15" spans="2:21" x14ac:dyDescent="0.35">
      <c r="B15" s="4">
        <v>120025</v>
      </c>
      <c r="C15" s="5" t="s">
        <v>15</v>
      </c>
      <c r="D15" s="4">
        <v>75</v>
      </c>
      <c r="E15" s="4">
        <v>70</v>
      </c>
      <c r="F15" s="4">
        <v>75</v>
      </c>
      <c r="G15" s="6">
        <f t="shared" si="0"/>
        <v>73.349999999999994</v>
      </c>
      <c r="H15" s="4" t="str" cm="1">
        <f t="array" ref="H15">_xlfn.IFS(G15&gt;=81, "A", G15&gt;=76, "AB", G15&gt;=66, "B", G15&gt;=61, "BC", G15&gt;=51, "C", TRUE,"E")</f>
        <v>B</v>
      </c>
      <c r="I15" s="6"/>
      <c r="T15" t="s">
        <v>45</v>
      </c>
      <c r="U15">
        <v>-0.4695560192474284</v>
      </c>
    </row>
    <row r="16" spans="2:21" x14ac:dyDescent="0.35">
      <c r="B16" s="4">
        <v>120027</v>
      </c>
      <c r="C16" s="5" t="s">
        <v>16</v>
      </c>
      <c r="D16" s="4">
        <v>95</v>
      </c>
      <c r="E16" s="4">
        <v>91</v>
      </c>
      <c r="F16" s="4">
        <v>96</v>
      </c>
      <c r="G16" s="6">
        <f t="shared" si="0"/>
        <v>94.03</v>
      </c>
      <c r="H16" s="4" t="str" cm="1">
        <f t="array" ref="H16">_xlfn.IFS(G16&gt;=81, "A", G16&gt;=76, "AB", G16&gt;=66, "B", G16&gt;=61, "BC", G16&gt;=51, "C", TRUE,"E")</f>
        <v>A</v>
      </c>
      <c r="I16" s="6"/>
      <c r="T16" t="s">
        <v>46</v>
      </c>
      <c r="U16">
        <v>-0.64955737277248493</v>
      </c>
    </row>
    <row r="17" spans="2:21" x14ac:dyDescent="0.35">
      <c r="B17" s="4">
        <v>120034</v>
      </c>
      <c r="C17" s="5" t="s">
        <v>17</v>
      </c>
      <c r="D17" s="4">
        <v>79</v>
      </c>
      <c r="E17" s="4">
        <v>84</v>
      </c>
      <c r="F17" s="4">
        <v>78</v>
      </c>
      <c r="G17" s="6">
        <f t="shared" si="0"/>
        <v>80.3</v>
      </c>
      <c r="H17" s="4" t="str" cm="1">
        <f t="array" ref="H17">_xlfn.IFS(G17&gt;=81, "A", G17&gt;=76, "AB", G17&gt;=66, "B", G17&gt;=61, "BC", G17&gt;=51, "C", TRUE,"E")</f>
        <v>AB</v>
      </c>
      <c r="I17" s="6"/>
      <c r="T17" t="s">
        <v>47</v>
      </c>
      <c r="U17">
        <v>48.019999999999996</v>
      </c>
    </row>
    <row r="18" spans="2:21" x14ac:dyDescent="0.35">
      <c r="B18" s="4">
        <v>120035</v>
      </c>
      <c r="C18" s="5" t="s">
        <v>18</v>
      </c>
      <c r="D18" s="4">
        <v>42</v>
      </c>
      <c r="E18" s="4">
        <v>48</v>
      </c>
      <c r="F18" s="4">
        <v>63</v>
      </c>
      <c r="G18" s="6">
        <f t="shared" si="0"/>
        <v>51.33</v>
      </c>
      <c r="H18" s="4" t="str" cm="1">
        <f t="array" ref="H18">_xlfn.IFS(G18&gt;=81, "A", G18&gt;=76, "AB", G18&gt;=66, "B", G18&gt;=61, "BC", G18&gt;=51, "C", TRUE,"E")</f>
        <v>C</v>
      </c>
      <c r="I18" s="6"/>
      <c r="T18" t="s">
        <v>48</v>
      </c>
      <c r="U18">
        <v>46.010000000000005</v>
      </c>
    </row>
    <row r="19" spans="2:21" x14ac:dyDescent="0.35">
      <c r="B19" s="4">
        <v>120036</v>
      </c>
      <c r="C19" s="5" t="s">
        <v>19</v>
      </c>
      <c r="D19" s="4">
        <v>53</v>
      </c>
      <c r="E19" s="4">
        <v>64</v>
      </c>
      <c r="F19" s="4">
        <v>59</v>
      </c>
      <c r="G19" s="6">
        <f t="shared" si="0"/>
        <v>58.73</v>
      </c>
      <c r="H19" s="4" t="str" cm="1">
        <f t="array" ref="H19">_xlfn.IFS(G19&gt;=81, "A", G19&gt;=76, "AB", G19&gt;=66, "B", G19&gt;=61, "BC", G19&gt;=51, "C", TRUE,"E")</f>
        <v>C</v>
      </c>
      <c r="I19" s="6"/>
      <c r="T19" t="s">
        <v>49</v>
      </c>
      <c r="U19">
        <v>94.03</v>
      </c>
    </row>
    <row r="20" spans="2:21" x14ac:dyDescent="0.35">
      <c r="B20" s="4">
        <v>120038</v>
      </c>
      <c r="C20" s="5" t="s">
        <v>20</v>
      </c>
      <c r="D20" s="4">
        <v>91</v>
      </c>
      <c r="E20" s="4">
        <v>95</v>
      </c>
      <c r="F20" s="4">
        <v>90</v>
      </c>
      <c r="G20" s="6">
        <f t="shared" si="0"/>
        <v>91.97</v>
      </c>
      <c r="H20" s="4" t="str" cm="1">
        <f t="array" ref="H20">_xlfn.IFS(G20&gt;=81, "A", G20&gt;=76, "AB", G20&gt;=66, "B", G20&gt;=61, "BC", G20&gt;=51, "C", TRUE,"E")</f>
        <v>A</v>
      </c>
      <c r="I20" s="6"/>
      <c r="T20" t="s">
        <v>50</v>
      </c>
      <c r="U20">
        <v>2359.8899999999994</v>
      </c>
    </row>
    <row r="21" spans="2:21" ht="15" thickBot="1" x14ac:dyDescent="0.4">
      <c r="B21" s="4">
        <v>120039</v>
      </c>
      <c r="C21" s="5" t="s">
        <v>21</v>
      </c>
      <c r="D21" s="4">
        <v>76</v>
      </c>
      <c r="E21" s="4">
        <v>81</v>
      </c>
      <c r="F21" s="4">
        <v>75</v>
      </c>
      <c r="G21" s="6">
        <f t="shared" si="0"/>
        <v>77.3</v>
      </c>
      <c r="H21" s="4" t="str" cm="1">
        <f t="array" ref="H21">_xlfn.IFS(G21&gt;=81, "A", G21&gt;=76, "AB", G21&gt;=66, "B", G21&gt;=61, "BC", G21&gt;=51, "C", TRUE,"E")</f>
        <v>AB</v>
      </c>
      <c r="I21" s="6"/>
      <c r="T21" s="8" t="s">
        <v>51</v>
      </c>
      <c r="U21" s="8">
        <v>31</v>
      </c>
    </row>
    <row r="22" spans="2:21" x14ac:dyDescent="0.35">
      <c r="B22" s="4">
        <v>120046</v>
      </c>
      <c r="C22" s="5" t="s">
        <v>22</v>
      </c>
      <c r="D22" s="4">
        <v>89</v>
      </c>
      <c r="E22" s="4">
        <v>93</v>
      </c>
      <c r="F22" s="4">
        <v>88</v>
      </c>
      <c r="G22" s="6">
        <f t="shared" si="0"/>
        <v>89.97</v>
      </c>
      <c r="H22" s="4" t="str" cm="1">
        <f t="array" ref="H22">_xlfn.IFS(G22&gt;=81, "A", G22&gt;=76, "AB", G22&gt;=66, "B", G22&gt;=61, "BC", G22&gt;=51, "C", TRUE,"E")</f>
        <v>A</v>
      </c>
      <c r="I22" s="6"/>
    </row>
    <row r="23" spans="2:21" x14ac:dyDescent="0.35">
      <c r="B23" s="4">
        <v>120047</v>
      </c>
      <c r="C23" s="5" t="s">
        <v>23</v>
      </c>
      <c r="D23" s="4">
        <v>80</v>
      </c>
      <c r="E23" s="4">
        <v>85</v>
      </c>
      <c r="F23" s="4">
        <v>79</v>
      </c>
      <c r="G23" s="6">
        <f t="shared" si="0"/>
        <v>81.300000000000011</v>
      </c>
      <c r="H23" s="4" t="str" cm="1">
        <f t="array" ref="H23">_xlfn.IFS(G23&gt;=81, "A", G23&gt;=76, "AB", G23&gt;=66, "B", G23&gt;=61, "BC", G23&gt;=51, "C", TRUE,"E")</f>
        <v>A</v>
      </c>
      <c r="I23" s="6"/>
    </row>
    <row r="24" spans="2:21" x14ac:dyDescent="0.35">
      <c r="B24" s="4">
        <v>120049</v>
      </c>
      <c r="C24" s="5" t="s">
        <v>24</v>
      </c>
      <c r="D24" s="4">
        <v>94</v>
      </c>
      <c r="E24" s="4">
        <v>90</v>
      </c>
      <c r="F24" s="4">
        <v>95</v>
      </c>
      <c r="G24" s="6">
        <f t="shared" si="0"/>
        <v>93.03</v>
      </c>
      <c r="H24" s="4" t="str" cm="1">
        <f t="array" ref="H24">_xlfn.IFS(G24&gt;=81, "A", G24&gt;=76, "AB", G24&gt;=66, "B", G24&gt;=61, "BC", G24&gt;=51, "C", TRUE,"E")</f>
        <v>A</v>
      </c>
      <c r="I24" s="6"/>
    </row>
    <row r="25" spans="2:21" x14ac:dyDescent="0.35">
      <c r="B25" s="4">
        <v>120054</v>
      </c>
      <c r="C25" s="5" t="s">
        <v>25</v>
      </c>
      <c r="D25" s="4">
        <v>77</v>
      </c>
      <c r="E25" s="4">
        <v>82</v>
      </c>
      <c r="F25" s="4">
        <v>76</v>
      </c>
      <c r="G25" s="6">
        <f t="shared" si="0"/>
        <v>78.3</v>
      </c>
      <c r="H25" s="4" t="str" cm="1">
        <f t="array" ref="H25">_xlfn.IFS(G25&gt;=81, "A", G25&gt;=76, "AB", G25&gt;=66, "B", G25&gt;=61, "BC", G25&gt;=51, "C", TRUE,"E")</f>
        <v>AB</v>
      </c>
      <c r="I25" s="6"/>
    </row>
    <row r="26" spans="2:21" x14ac:dyDescent="0.35">
      <c r="B26" s="4">
        <v>120060</v>
      </c>
      <c r="C26" s="5" t="s">
        <v>26</v>
      </c>
      <c r="D26" s="4">
        <v>86</v>
      </c>
      <c r="E26" s="4">
        <v>89</v>
      </c>
      <c r="F26" s="4">
        <v>84</v>
      </c>
      <c r="G26" s="6">
        <f t="shared" si="0"/>
        <v>86.289999999999992</v>
      </c>
      <c r="H26" s="4" t="str" cm="1">
        <f t="array" ref="H26">_xlfn.IFS(G26&gt;=81, "A", G26&gt;=76, "AB", G26&gt;=66, "B", G26&gt;=61, "BC", G26&gt;=51, "C", TRUE,"E")</f>
        <v>A</v>
      </c>
      <c r="I26" s="6"/>
    </row>
    <row r="27" spans="2:21" x14ac:dyDescent="0.35">
      <c r="B27" s="4">
        <v>120063</v>
      </c>
      <c r="C27" s="5" t="s">
        <v>27</v>
      </c>
      <c r="D27" s="4">
        <v>92</v>
      </c>
      <c r="E27" s="4">
        <v>88</v>
      </c>
      <c r="F27" s="4">
        <v>93</v>
      </c>
      <c r="G27" s="6">
        <f t="shared" si="0"/>
        <v>91.03</v>
      </c>
      <c r="H27" s="4" t="str" cm="1">
        <f t="array" ref="H27">_xlfn.IFS(G27&gt;=81, "A", G27&gt;=76, "AB", G27&gt;=66, "B", G27&gt;=61, "BC", G27&gt;=51, "C", TRUE,"E")</f>
        <v>A</v>
      </c>
      <c r="I27" s="6"/>
    </row>
    <row r="28" spans="2:21" x14ac:dyDescent="0.35">
      <c r="B28" s="4">
        <v>120070</v>
      </c>
      <c r="C28" s="5" t="s">
        <v>28</v>
      </c>
      <c r="D28" s="4">
        <v>78</v>
      </c>
      <c r="E28" s="4">
        <v>83</v>
      </c>
      <c r="F28" s="4">
        <v>77</v>
      </c>
      <c r="G28" s="6">
        <f t="shared" si="0"/>
        <v>79.3</v>
      </c>
      <c r="H28" s="4" t="str" cm="1">
        <f t="array" ref="H28">_xlfn.IFS(G28&gt;=81, "A", G28&gt;=76, "AB", G28&gt;=66, "B", G28&gt;=61, "BC", G28&gt;=51, "C", TRUE,"E")</f>
        <v>AB</v>
      </c>
      <c r="I28" s="6"/>
    </row>
    <row r="29" spans="2:21" x14ac:dyDescent="0.35">
      <c r="B29" s="4">
        <v>120071</v>
      </c>
      <c r="C29" s="5" t="s">
        <v>29</v>
      </c>
      <c r="D29" s="4">
        <v>41</v>
      </c>
      <c r="E29" s="4">
        <v>53</v>
      </c>
      <c r="F29" s="4">
        <v>44</v>
      </c>
      <c r="G29" s="6">
        <f t="shared" si="0"/>
        <v>46.010000000000005</v>
      </c>
      <c r="H29" s="4" t="str" cm="1">
        <f t="array" ref="H29">_xlfn.IFS(G29&gt;=81, "A", G29&gt;=76, "AB", G29&gt;=66, "B", G29&gt;=61, "BC", G29&gt;=51, "C", TRUE,"E")</f>
        <v>E</v>
      </c>
      <c r="I29" s="6"/>
    </row>
    <row r="30" spans="2:21" x14ac:dyDescent="0.35">
      <c r="B30" s="4">
        <v>120073</v>
      </c>
      <c r="C30" s="5" t="s">
        <v>30</v>
      </c>
      <c r="D30" s="4">
        <v>68</v>
      </c>
      <c r="E30" s="4">
        <v>49</v>
      </c>
      <c r="F30" s="4">
        <v>54</v>
      </c>
      <c r="G30" s="6">
        <f t="shared" si="0"/>
        <v>56.830000000000005</v>
      </c>
      <c r="H30" s="4" t="str" cm="1">
        <f t="array" ref="H30">_xlfn.IFS(G30&gt;=81, "A", G30&gt;=76, "AB", G30&gt;=66, "B", G30&gt;=61, "BC", G30&gt;=51, "C", TRUE,"E")</f>
        <v>C</v>
      </c>
      <c r="I30" s="6"/>
    </row>
    <row r="31" spans="2:21" x14ac:dyDescent="0.35">
      <c r="B31" s="4">
        <v>120082</v>
      </c>
      <c r="C31" s="5" t="s">
        <v>31</v>
      </c>
      <c r="D31" s="4">
        <v>81</v>
      </c>
      <c r="E31" s="4">
        <v>87</v>
      </c>
      <c r="F31" s="4">
        <v>80</v>
      </c>
      <c r="G31" s="6">
        <f t="shared" si="0"/>
        <v>82.63</v>
      </c>
      <c r="H31" s="4" t="str" cm="1">
        <f t="array" ref="H31">_xlfn.IFS(G31&gt;=81, "A", G31&gt;=76, "AB", G31&gt;=66, "B", G31&gt;=61, "BC", G31&gt;=51, "C", TRUE,"E")</f>
        <v>A</v>
      </c>
      <c r="I31" s="6"/>
    </row>
    <row r="32" spans="2:21" x14ac:dyDescent="0.35">
      <c r="B32" s="4">
        <v>120083</v>
      </c>
      <c r="C32" s="5" t="s">
        <v>32</v>
      </c>
      <c r="D32" s="4">
        <v>87</v>
      </c>
      <c r="E32" s="4">
        <v>90</v>
      </c>
      <c r="F32" s="4">
        <v>85</v>
      </c>
      <c r="G32" s="6">
        <f t="shared" si="0"/>
        <v>87.29</v>
      </c>
      <c r="H32" s="4" t="str" cm="1">
        <f t="array" ref="H32">_xlfn.IFS(G32&gt;=81, "A", G32&gt;=76, "AB", G32&gt;=66, "B", G32&gt;=61, "BC", G32&gt;=51, "C", TRUE,"E")</f>
        <v>A</v>
      </c>
      <c r="I32" s="6"/>
    </row>
    <row r="33" spans="2:9" x14ac:dyDescent="0.35">
      <c r="B33" s="4">
        <v>120088</v>
      </c>
      <c r="C33" s="5" t="s">
        <v>33</v>
      </c>
      <c r="D33" s="4">
        <v>79</v>
      </c>
      <c r="E33" s="4">
        <v>84</v>
      </c>
      <c r="F33" s="4">
        <v>78</v>
      </c>
      <c r="G33" s="6">
        <f t="shared" si="0"/>
        <v>80.3</v>
      </c>
      <c r="H33" s="4" t="str" cm="1">
        <f t="array" ref="H33">_xlfn.IFS(G33&gt;=81, "A", G33&gt;=76, "AB", G33&gt;=66, "B", G33&gt;=61, "BC", G33&gt;=51, "C", TRUE,"E")</f>
        <v>AB</v>
      </c>
      <c r="I33" s="6"/>
    </row>
    <row r="34" spans="2:9" x14ac:dyDescent="0.35">
      <c r="B34" s="4">
        <v>120090</v>
      </c>
      <c r="C34" s="5" t="s">
        <v>34</v>
      </c>
      <c r="D34" s="4">
        <v>70</v>
      </c>
      <c r="E34" s="4">
        <v>77</v>
      </c>
      <c r="F34" s="4">
        <v>64</v>
      </c>
      <c r="G34" s="6">
        <f t="shared" si="0"/>
        <v>70.210000000000008</v>
      </c>
      <c r="H34" s="4" t="str" cm="1">
        <f t="array" ref="H34">_xlfn.IFS(G34&gt;=81, "A", G34&gt;=76, "AB", G34&gt;=66, "B", G34&gt;=61, "BC", G34&gt;=51, "C", TRUE,"E")</f>
        <v>B</v>
      </c>
      <c r="I34" s="6"/>
    </row>
    <row r="35" spans="2:9" x14ac:dyDescent="0.35">
      <c r="B35" s="4">
        <v>120093</v>
      </c>
      <c r="C35" s="5" t="s">
        <v>35</v>
      </c>
      <c r="D35" s="4">
        <v>67</v>
      </c>
      <c r="E35" s="4">
        <v>54</v>
      </c>
      <c r="F35" s="4">
        <v>54</v>
      </c>
      <c r="G35" s="6">
        <f t="shared" si="0"/>
        <v>58.160000000000004</v>
      </c>
      <c r="H35" s="4" t="str" cm="1">
        <f t="array" ref="H35">_xlfn.IFS(G35&gt;=81, "A", G35&gt;=76, "AB", G35&gt;=66, "B", G35&gt;=61, "BC", G35&gt;=51, "C", TRUE,"E")</f>
        <v>C</v>
      </c>
      <c r="I35" s="6"/>
    </row>
    <row r="36" spans="2:9" x14ac:dyDescent="0.35">
      <c r="B36" s="4">
        <v>120095</v>
      </c>
      <c r="C36" s="5" t="s">
        <v>36</v>
      </c>
      <c r="D36" s="4">
        <v>69</v>
      </c>
      <c r="E36" s="4">
        <v>62</v>
      </c>
      <c r="F36" s="4">
        <v>71</v>
      </c>
      <c r="G36" s="6">
        <f t="shared" si="0"/>
        <v>67.39</v>
      </c>
      <c r="H36" s="4" t="str" cm="1">
        <f t="array" ref="H36">_xlfn.IFS(G36&gt;=81, "A", G36&gt;=76, "AB", G36&gt;=66, "B", G36&gt;=61, "BC", G36&gt;=51, "C", TRUE,"E")</f>
        <v>B</v>
      </c>
      <c r="I36" s="6"/>
    </row>
    <row r="37" spans="2:9" x14ac:dyDescent="0.35">
      <c r="B37" s="4">
        <v>120098</v>
      </c>
      <c r="C37" s="5" t="s">
        <v>37</v>
      </c>
      <c r="D37" s="4">
        <v>76</v>
      </c>
      <c r="E37" s="4">
        <v>81</v>
      </c>
      <c r="F37" s="4">
        <v>75</v>
      </c>
      <c r="G37" s="6">
        <f t="shared" si="0"/>
        <v>77.3</v>
      </c>
      <c r="H37" s="4" t="str" cm="1">
        <f t="array" ref="H37">_xlfn.IFS(G37&gt;=81, "A", G37&gt;=76, "AB", G37&gt;=66, "B", G37&gt;=61, "BC", G37&gt;=51, "C", TRUE,"E")</f>
        <v>AB</v>
      </c>
      <c r="I37" s="6"/>
    </row>
    <row r="38" spans="2:9" x14ac:dyDescent="0.35">
      <c r="B38" s="4">
        <v>120099</v>
      </c>
      <c r="C38" s="5" t="s">
        <v>38</v>
      </c>
      <c r="D38" s="4">
        <v>60</v>
      </c>
      <c r="E38" s="4">
        <v>65</v>
      </c>
      <c r="F38" s="4">
        <v>64</v>
      </c>
      <c r="G38" s="6">
        <f t="shared" si="0"/>
        <v>63.05</v>
      </c>
      <c r="H38" s="4" t="str" cm="1">
        <f t="array" ref="H38">_xlfn.IFS(G38&gt;=81, "A", G38&gt;=76, "AB", G38&gt;=66, "B", G38&gt;=61, "BC", G38&gt;=51, "C", TRUE,"E")</f>
        <v>BC</v>
      </c>
      <c r="I3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Arifin Arifin</cp:lastModifiedBy>
  <dcterms:created xsi:type="dcterms:W3CDTF">2026-09-15T00:47:47Z</dcterms:created>
  <dcterms:modified xsi:type="dcterms:W3CDTF">2026-09-25T14:43:07Z</dcterms:modified>
</cp:coreProperties>
</file>